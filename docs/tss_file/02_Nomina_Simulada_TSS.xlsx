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656c41f4e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ina simulada" sheetId="1" r:id="R33b7fa7d57094743"/>
    <x:sheet xmlns:r="http://schemas.openxmlformats.org/officeDocument/2006/relationships" name="Comparativo hallazgos" sheetId="2" r:id="R94c59a6a44e140eb"/>
    <x:sheet xmlns:r="http://schemas.openxmlformats.org/officeDocument/2006/relationships" name="Layout TSS" sheetId="3" r:id="R9bb8b91a4508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8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wrapText="1"/>
    </x:xf>
    <x:xf numFmtId="200" fontId="0" fillId="5" borderId="16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8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wrapText="1"/>
    </x:xf>
    <x:xf numFmtId="200" fontId="0" fillId="6" borderId="16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3c4f9b0944706" /><Relationship Type="http://schemas.openxmlformats.org/officeDocument/2006/relationships/theme" Target="/xl/theme/theme1.xml" Id="R656b503f424c41b1" /><Relationship Type="http://schemas.openxmlformats.org/officeDocument/2006/relationships/sharedStrings" Target="/xl/sharedStrings.xml" Id="R4c547e667c994d2e" /><Relationship Type="http://schemas.openxmlformats.org/officeDocument/2006/relationships/worksheet" Target="/xl/worksheets/sheet1.xml" Id="R33b7fa7d57094743" /><Relationship Type="http://schemas.openxmlformats.org/officeDocument/2006/relationships/worksheet" Target="/xl/worksheets/sheet2.xml" Id="R94c59a6a44e140eb" /><Relationship Type="http://schemas.openxmlformats.org/officeDocument/2006/relationships/worksheet" Target="/xl/worksheets/sheet3.xml" Id="R9bb8b91a450848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4" hidden="0" customWidth="1"/>
  </x:cols>
  <x:sheetData>
    <x:row r="1" ht="24" customHeight="1">
      <x:c r="A1" s="5" t="str">
        <x:v>NÓMINA SIMULADA - PRUEBA DE AUTODETERMINACIÓN TSS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3" t="str">
        <x:v>DATOS 100% FICTICIOS. No utilizar este archivo para carga en TSS.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6" customHeight="1">
      <x:c r="A4" s="32" t="str">
        <x:v>Empleado ficticio</x:v>
      </x:c>
      <x:c r="B4" s="33" t="str">
        <x:v>Documento ficticio</x:v>
      </x:c>
      <x:c r="C4" s="33" t="str">
        <x:v>Salario base</x:v>
      </x:c>
      <x:c r="D4" s="33" t="str">
        <x:v>Salario a pagar</x:v>
      </x:c>
      <x:c r="E4" s="33" t="str">
        <x:v>Comisiones</x:v>
      </x:c>
      <x:c r="F4" s="33" t="str">
        <x:v>Incentivos / otras remun.</x:v>
      </x:c>
      <x:c r="G4" s="33" t="str">
        <x:v>Vacaciones de ley</x:v>
      </x:c>
      <x:c r="H4" s="33" t="str">
        <x:v>Regalía Pascual</x:v>
      </x:c>
      <x:c r="I4" s="33" t="str">
        <x:v>Salario_SS esperado</x:v>
      </x:c>
      <x:c r="J4" s="50" t="str">
        <x:v>Otras Rem. Odoo</x:v>
      </x:c>
      <x:c r="K4" s="56" t="str">
        <x:v>Otras Rem. esperada TSS</x:v>
      </x:c>
      <x:c r="L4" s="50" t="str">
        <x:v>Base INFOTEP Odoo</x:v>
      </x:c>
      <x:c r="M4" s="56" t="str">
        <x:v>Base INFOTEP esperada</x:v>
      </x:c>
      <x:c r="N4" s="33" t="str">
        <x:v>Salario_ISR en TXT Odoo</x:v>
      </x:c>
      <x:c r="O4" s="50" t="str">
        <x:v>INFOTEP en TXT Odoo</x:v>
      </x:c>
      <x:c r="P4" s="56" t="str">
        <x:v>INFOTEP esperado en TXT</x:v>
      </x:c>
      <x:c r="Q4" s="34" t="str">
        <x:v>Caso / observación</x:v>
      </x:c>
    </x:row>
    <x:row r="5">
      <x:c r="A5" s="35" t="str">
        <x:v>Laura Mendez</x:v>
      </x:c>
      <x:c r="B5" s="28" t="str">
        <x:v>99900000001</x:v>
      </x:c>
      <x:c r="C5" s="30" t="n">
        <x:v>45000</x:v>
      </x:c>
      <x:c r="D5" s="30" t="n">
        <x:v>45000</x:v>
      </x:c>
      <x:c r="E5" s="30" t="n">
        <x:v>4250</x:v>
      </x:c>
      <x:c r="F5" s="30" t="n">
        <x:v>0</x:v>
      </x:c>
      <x:c r="G5" s="30" t="n">
        <x:v>0</x:v>
      </x:c>
      <x:c r="H5" s="30" t="n">
        <x:v>0</x:v>
      </x:c>
      <x:c r="I5" s="30" t="n">
        <x:f>D5+E5+G5</x:f>
        <x:v>49250</x:v>
      </x:c>
      <x:c r="J5" s="51" t="n">
        <x:f>F5</x:f>
        <x:v>0</x:v>
      </x:c>
      <x:c r="K5" s="57" t="n">
        <x:f>F5+G5</x:f>
        <x:v>0</x:v>
      </x:c>
      <x:c r="L5" s="51" t="n">
        <x:f>IF(G5&gt;0,I5-1,D5+E5)</x:f>
        <x:v>49250</x:v>
      </x:c>
      <x:c r="M5" s="57" t="n">
        <x:f>D5+E5</x:f>
        <x:v>49250</x:v>
      </x:c>
      <x:c r="N5" s="30" t="n">
        <x:f>IF((D5+E5)&lt;&gt;I5,D5+E5,0)</x:f>
        <x:v>0</x:v>
      </x:c>
      <x:c r="O5" s="51" t="n">
        <x:f>L5</x:f>
        <x:v>49250</x:v>
      </x:c>
      <x:c r="P5" s="57" t="n">
        <x:f>IF(M5&lt;&gt;I5,M5,0)</x:f>
        <x:v>0</x:v>
      </x:c>
      <x:c r="Q5" s="36" t="str">
        <x:v>Caso regular con comisión. Sin vacaciones.</x:v>
      </x:c>
    </x:row>
    <x:row r="6">
      <x:c r="A6" s="35" t="str">
        <x:v>Mateo Vargas</x:v>
      </x:c>
      <x:c r="B6" s="28" t="str">
        <x:v>99900000002</x:v>
      </x:c>
      <x:c r="C6" s="30" t="n">
        <x:v>52000</x:v>
      </x:c>
      <x:c r="D6" s="30" t="n">
        <x:v>52000</x:v>
      </x:c>
      <x:c r="E6" s="30" t="n">
        <x:v>0</x:v>
      </x:c>
      <x:c r="F6" s="30" t="n">
        <x:v>0</x:v>
      </x:c>
      <x:c r="G6" s="30" t="n">
        <x:v>8400</x:v>
      </x:c>
      <x:c r="H6" s="30" t="n">
        <x:v>0</x:v>
      </x:c>
      <x:c r="I6" s="30" t="n">
        <x:f>D6+E6+G6</x:f>
        <x:v>60400</x:v>
      </x:c>
      <x:c r="J6" s="51" t="n">
        <x:f>F6</x:f>
        <x:v>0</x:v>
      </x:c>
      <x:c r="K6" s="57" t="n">
        <x:f>F6+G6</x:f>
        <x:v>8400</x:v>
      </x:c>
      <x:c r="L6" s="51" t="n">
        <x:f>IF(G6&gt;0,I6-1,D6+E6)</x:f>
        <x:v>60399</x:v>
      </x:c>
      <x:c r="M6" s="57" t="n">
        <x:f>D6+E6</x:f>
        <x:v>52000</x:v>
      </x:c>
      <x:c r="N6" s="30" t="n">
        <x:f>IF((D6+E6)&lt;&gt;I6,D6+E6,0)</x:f>
        <x:v>52000</x:v>
      </x:c>
      <x:c r="O6" s="51" t="n">
        <x:f>L6</x:f>
        <x:v>60399</x:v>
      </x:c>
      <x:c r="P6" s="57" t="n">
        <x:f>IF(M6&lt;&gt;I6,M6,0)</x:f>
        <x:v>52000</x:v>
      </x:c>
      <x:c r="Q6" s="36" t="str">
        <x:v>Vacaciones sin otras remuneraciones adicionales.</x:v>
      </x:c>
    </x:row>
    <x:row r="7">
      <x:c r="A7" s="35" t="str">
        <x:v>Camila Reyes</x:v>
      </x:c>
      <x:c r="B7" s="28" t="str">
        <x:v>99900000003</x:v>
      </x:c>
      <x:c r="C7" s="30" t="n">
        <x:v>80000</x:v>
      </x:c>
      <x:c r="D7" s="30" t="n">
        <x:v>80000</x:v>
      </x:c>
      <x:c r="E7" s="30" t="n">
        <x:v>0</x:v>
      </x:c>
      <x:c r="F7" s="30" t="n">
        <x:v>20000</x:v>
      </x:c>
      <x:c r="G7" s="30" t="n">
        <x:v>12750</x:v>
      </x:c>
      <x:c r="H7" s="30" t="n">
        <x:v>0</x:v>
      </x:c>
      <x:c r="I7" s="30" t="n">
        <x:f>D7+E7+G7</x:f>
        <x:v>92750</x:v>
      </x:c>
      <x:c r="J7" s="51" t="n">
        <x:f>F7</x:f>
        <x:v>20000</x:v>
      </x:c>
      <x:c r="K7" s="57" t="n">
        <x:f>F7+G7</x:f>
        <x:v>32750</x:v>
      </x:c>
      <x:c r="L7" s="51" t="n">
        <x:f>IF(G7&gt;0,I7-1,D7+E7)</x:f>
        <x:v>92749</x:v>
      </x:c>
      <x:c r="M7" s="57" t="n">
        <x:f>D7+E7</x:f>
        <x:v>80000</x:v>
      </x:c>
      <x:c r="N7" s="30" t="n">
        <x:f>IF((D7+E7)&lt;&gt;I7,D7+E7,0)</x:f>
        <x:v>80000</x:v>
      </x:c>
      <x:c r="O7" s="51" t="n">
        <x:f>L7</x:f>
        <x:v>92749</x:v>
      </x:c>
      <x:c r="P7" s="57" t="n">
        <x:f>IF(M7&lt;&gt;I7,M7,0)</x:f>
        <x:v>80000</x:v>
      </x:c>
      <x:c r="Q7" s="36" t="str">
        <x:v>Vacaciones + incentivo.</x:v>
      </x:c>
    </x:row>
    <x:row r="8">
      <x:c r="A8" s="35" t="str">
        <x:v>Diego Castillo</x:v>
      </x:c>
      <x:c r="B8" s="28" t="str">
        <x:v>99900000004</x:v>
      </x:c>
      <x:c r="C8" s="30" t="n">
        <x:v>60000</x:v>
      </x:c>
      <x:c r="D8" s="30" t="n">
        <x:v>60000</x:v>
      </x:c>
      <x:c r="E8" s="30" t="n">
        <x:v>0</x:v>
      </x:c>
      <x:c r="F8" s="30" t="n">
        <x:v>10000</x:v>
      </x:c>
      <x:c r="G8" s="30" t="n">
        <x:v>0</x:v>
      </x:c>
      <x:c r="H8" s="30" t="n">
        <x:v>0</x:v>
      </x:c>
      <x:c r="I8" s="30" t="n">
        <x:f>D8+E8+G8</x:f>
        <x:v>60000</x:v>
      </x:c>
      <x:c r="J8" s="51" t="n">
        <x:f>F8</x:f>
        <x:v>10000</x:v>
      </x:c>
      <x:c r="K8" s="57" t="n">
        <x:f>F8+G8</x:f>
        <x:v>10000</x:v>
      </x:c>
      <x:c r="L8" s="51" t="n">
        <x:f>IF(G8&gt;0,I8-1,D8+E8)</x:f>
        <x:v>60000</x:v>
      </x:c>
      <x:c r="M8" s="57" t="n">
        <x:f>D8+E8</x:f>
        <x:v>60000</x:v>
      </x:c>
      <x:c r="N8" s="30" t="n">
        <x:f>IF((D8+E8)&lt;&gt;I8,D8+E8,0)</x:f>
        <x:v>0</x:v>
      </x:c>
      <x:c r="O8" s="51" t="n">
        <x:f>L8</x:f>
        <x:v>60000</x:v>
      </x:c>
      <x:c r="P8" s="57" t="n">
        <x:f>IF(M8&lt;&gt;I8,M8,0)</x:f>
        <x:v>0</x:v>
      </x:c>
      <x:c r="Q8" s="36" t="str">
        <x:v>Incentivo sin vacaciones.</x:v>
      </x:c>
    </x:row>
    <x:row r="9">
      <x:c r="A9" s="37" t="str">
        <x:v>Valeria Santos</x:v>
      </x:c>
      <x:c r="B9" s="38" t="str">
        <x:v>99900000005</x:v>
      </x:c>
      <x:c r="C9" s="39" t="n">
        <x:v>30000</x:v>
      </x:c>
      <x:c r="D9" s="39" t="n">
        <x:v>30000</x:v>
      </x:c>
      <x:c r="E9" s="39" t="n">
        <x:v>0</x:v>
      </x:c>
      <x:c r="F9" s="39" t="n">
        <x:v>0</x:v>
      </x:c>
      <x:c r="G9" s="39" t="n">
        <x:v>0</x:v>
      </x:c>
      <x:c r="H9" s="39" t="n">
        <x:v>6500</x:v>
      </x:c>
      <x:c r="I9" s="39" t="n">
        <x:f>D9+E9+G9</x:f>
        <x:v>30000</x:v>
      </x:c>
      <x:c r="J9" s="52" t="n">
        <x:f>F9</x:f>
        <x:v>0</x:v>
      </x:c>
      <x:c r="K9" s="58" t="n">
        <x:f>F9+G9</x:f>
        <x:v>0</x:v>
      </x:c>
      <x:c r="L9" s="52" t="n">
        <x:f>IF(G9&gt;0,I9-1,D9+E9)</x:f>
        <x:v>30000</x:v>
      </x:c>
      <x:c r="M9" s="58" t="n">
        <x:f>D9+E9</x:f>
        <x:v>30000</x:v>
      </x:c>
      <x:c r="N9" s="39" t="n">
        <x:f>IF((D9+E9)&lt;&gt;I9,D9+E9,0)</x:f>
        <x:v>0</x:v>
      </x:c>
      <x:c r="O9" s="52" t="n">
        <x:f>L9</x:f>
        <x:v>30000</x:v>
      </x:c>
      <x:c r="P9" s="58" t="n">
        <x:f>IF(M9&lt;&gt;I9,M9,0)</x:f>
        <x:v>0</x:v>
      </x:c>
      <x:c r="Q9" s="40" t="str">
        <x:v>Regalía Pascual para validar ingreso exento/código 01.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42" hidden="0" customWidth="1"/>
  </x:cols>
  <x:sheetData>
    <x:row r="1">
      <x:c r="A1" s="4" t="str">
        <x:v>COMPARATIVO: ODOO ACTUAL VS. COMPORTAMIENTO ESPERADO TSS</x:v>
      </x:c>
      <x:c r="B1" s="4"/>
      <x:c r="C1" s="4"/>
      <x:c r="D1" s="4"/>
      <x:c r="E1" s="4"/>
      <x:c r="F1" s="4"/>
      <x:c r="G1" s="4"/>
      <x:c r="H1" s="4"/>
    </x:row>
    <x:row r="3">
      <x:c r="A3" s="64" t="str">
        <x:v>Empleado</x:v>
      </x:c>
      <x:c r="B3" s="65" t="str">
        <x:v>Campo</x:v>
      </x:c>
      <x:c r="C3" s="65" t="str">
        <x:v>Odoo actual</x:v>
      </x:c>
      <x:c r="D3" s="65" t="str">
        <x:v>Esperado TSS</x:v>
      </x:c>
      <x:c r="E3" s="65" t="str">
        <x:v>Diferencia</x:v>
      </x:c>
      <x:c r="F3" s="65" t="str">
        <x:v>Estado</x:v>
      </x:c>
      <x:c r="G3" s="65" t="str">
        <x:v>Fuente / criterio</x:v>
      </x:c>
      <x:c r="H3" s="66" t="str">
        <x:v>Comentario</x:v>
      </x:c>
    </x:row>
    <x:row r="4">
      <x:c r="A4" s="35" t="str">
        <x:v>Laura Mendez</x:v>
      </x:c>
      <x:c r="B4" s="28" t="str">
        <x:v>Otras Remuneraciones</x:v>
      </x:c>
      <x:c r="C4" s="30" t="n">
        <x:f>'Nomina simulada'!J5</x:f>
        <x:v>0</x:v>
      </x:c>
      <x:c r="D4" s="30" t="n">
        <x:f>'Nomina simulada'!K5</x:f>
        <x:v>0</x:v>
      </x:c>
      <x:c r="E4" s="30" t="n">
        <x:f>C4-D4</x:f>
        <x:v>0</x:v>
      </x:c>
      <x:c r="F4" s="28" t="str">
        <x:f>IF(ABS(E4)&lt;0.005,"OK","REVISAR")</x:f>
        <x:v>OK</x:v>
      </x:c>
      <x:c r="G4" s="28" t="str">
        <x:v>TSS: incentivos + vacaciones por ley + otras retribuciones complementarias.</x:v>
      </x:c>
      <x:c r="H4" s="36" t="str">
        <x:v>Debe incluir vacaciones cuando existan.</x:v>
      </x:c>
    </x:row>
    <x:row r="5">
      <x:c r="A5" s="35" t="str">
        <x:v>Laura Mendez</x:v>
      </x:c>
      <x:c r="B5" s="28" t="str">
        <x:v>Salario cotizable INFOTEP (TXT)</x:v>
      </x:c>
      <x:c r="C5" s="30" t="n">
        <x:f>'Nomina simulada'!O5</x:f>
        <x:v>49250</x:v>
      </x:c>
      <x:c r="D5" s="30" t="n">
        <x:f>'Nomina simulada'!P5</x:f>
        <x:v>0</x:v>
      </x:c>
      <x:c r="E5" s="30" t="n">
        <x:f>C5-D5</x:f>
        <x:v>49250</x:v>
      </x:c>
      <x:c r="F5" s="28" t="str">
        <x:f>IF(ABS(E5)&lt;0.005,"OK","REVISAR")</x:f>
        <x:v>REVISAR</x:v>
      </x:c>
      <x:c r="G5" s="28" t="str">
        <x:v>Layout v6 pág. 22: reportar solo si difiere de Salario_SS; si no, llenar en cero.</x:v>
      </x:c>
      <x:c r="H5" s="36" t="str">
        <x:v>En vacaciones, además debe partir de salario + comisiones.</x:v>
      </x:c>
    </x:row>
    <x:row r="6">
      <x:c r="A6" s="35" t="str">
        <x:v>Mateo Vargas</x:v>
      </x:c>
      <x:c r="B6" s="28" t="str">
        <x:v>Otras Remuneraciones</x:v>
      </x:c>
      <x:c r="C6" s="30" t="n">
        <x:f>'Nomina simulada'!J6</x:f>
        <x:v>0</x:v>
      </x:c>
      <x:c r="D6" s="30" t="n">
        <x:f>'Nomina simulada'!K6</x:f>
        <x:v>8400</x:v>
      </x:c>
      <x:c r="E6" s="30" t="n">
        <x:f>C6-D6</x:f>
        <x:v>-8400</x:v>
      </x:c>
      <x:c r="F6" s="28" t="str">
        <x:f>IF(ABS(E6)&lt;0.005,"OK","REVISAR")</x:f>
        <x:v>REVISAR</x:v>
      </x:c>
      <x:c r="G6" s="28" t="str">
        <x:v>TSS: incentivos + vacaciones por ley + otras retribuciones complementarias.</x:v>
      </x:c>
      <x:c r="H6" s="36" t="str">
        <x:v>Debe incluir vacaciones cuando existan.</x:v>
      </x:c>
    </x:row>
    <x:row r="7">
      <x:c r="A7" s="35" t="str">
        <x:v>Mateo Vargas</x:v>
      </x:c>
      <x:c r="B7" s="28" t="str">
        <x:v>Salario cotizable INFOTEP (TXT)</x:v>
      </x:c>
      <x:c r="C7" s="30" t="n">
        <x:f>'Nomina simulada'!O6</x:f>
        <x:v>60399</x:v>
      </x:c>
      <x:c r="D7" s="30" t="n">
        <x:f>'Nomina simulada'!P6</x:f>
        <x:v>52000</x:v>
      </x:c>
      <x:c r="E7" s="30" t="n">
        <x:f>C7-D7</x:f>
        <x:v>8399</x:v>
      </x:c>
      <x:c r="F7" s="28" t="str">
        <x:f>IF(ABS(E7)&lt;0.005,"OK","REVISAR")</x:f>
        <x:v>REVISAR</x:v>
      </x:c>
      <x:c r="G7" s="28" t="str">
        <x:v>Layout v6 pág. 22: reportar solo si difiere de Salario_SS; si no, llenar en cero.</x:v>
      </x:c>
      <x:c r="H7" s="36" t="str">
        <x:v>En vacaciones, además debe partir de salario + comisiones.</x:v>
      </x:c>
    </x:row>
    <x:row r="8">
      <x:c r="A8" s="35" t="str">
        <x:v>Camila Reyes</x:v>
      </x:c>
      <x:c r="B8" s="28" t="str">
        <x:v>Otras Remuneraciones</x:v>
      </x:c>
      <x:c r="C8" s="30" t="n">
        <x:f>'Nomina simulada'!J7</x:f>
        <x:v>20000</x:v>
      </x:c>
      <x:c r="D8" s="30" t="n">
        <x:f>'Nomina simulada'!K7</x:f>
        <x:v>32750</x:v>
      </x:c>
      <x:c r="E8" s="30" t="n">
        <x:f>C8-D8</x:f>
        <x:v>-12750</x:v>
      </x:c>
      <x:c r="F8" s="28" t="str">
        <x:f>IF(ABS(E8)&lt;0.005,"OK","REVISAR")</x:f>
        <x:v>REVISAR</x:v>
      </x:c>
      <x:c r="G8" s="28" t="str">
        <x:v>TSS: incentivos + vacaciones por ley + otras retribuciones complementarias.</x:v>
      </x:c>
      <x:c r="H8" s="36" t="str">
        <x:v>Debe incluir vacaciones cuando existan.</x:v>
      </x:c>
    </x:row>
    <x:row r="9">
      <x:c r="A9" s="35" t="str">
        <x:v>Camila Reyes</x:v>
      </x:c>
      <x:c r="B9" s="28" t="str">
        <x:v>Salario cotizable INFOTEP (TXT)</x:v>
      </x:c>
      <x:c r="C9" s="30" t="n">
        <x:f>'Nomina simulada'!O7</x:f>
        <x:v>92749</x:v>
      </x:c>
      <x:c r="D9" s="30" t="n">
        <x:f>'Nomina simulada'!P7</x:f>
        <x:v>80000</x:v>
      </x:c>
      <x:c r="E9" s="30" t="n">
        <x:f>C9-D9</x:f>
        <x:v>12749</x:v>
      </x:c>
      <x:c r="F9" s="28" t="str">
        <x:f>IF(ABS(E9)&lt;0.005,"OK","REVISAR")</x:f>
        <x:v>REVISAR</x:v>
      </x:c>
      <x:c r="G9" s="28" t="str">
        <x:v>Layout v6 pág. 22: reportar solo si difiere de Salario_SS; si no, llenar en cero.</x:v>
      </x:c>
      <x:c r="H9" s="36" t="str">
        <x:v>En vacaciones, además debe partir de salario + comisiones.</x:v>
      </x:c>
    </x:row>
    <x:row r="10">
      <x:c r="A10" s="35" t="str">
        <x:v>Diego Castillo</x:v>
      </x:c>
      <x:c r="B10" s="28" t="str">
        <x:v>Otras Remuneraciones</x:v>
      </x:c>
      <x:c r="C10" s="30" t="n">
        <x:f>'Nomina simulada'!J8</x:f>
        <x:v>10000</x:v>
      </x:c>
      <x:c r="D10" s="30" t="n">
        <x:f>'Nomina simulada'!K8</x:f>
        <x:v>10000</x:v>
      </x:c>
      <x:c r="E10" s="30" t="n">
        <x:f>C10-D10</x:f>
        <x:v>0</x:v>
      </x:c>
      <x:c r="F10" s="28" t="str">
        <x:f>IF(ABS(E10)&lt;0.005,"OK","REVISAR")</x:f>
        <x:v>OK</x:v>
      </x:c>
      <x:c r="G10" s="28" t="str">
        <x:v>TSS: incentivos + vacaciones por ley + otras retribuciones complementarias.</x:v>
      </x:c>
      <x:c r="H10" s="36" t="str">
        <x:v>Debe incluir vacaciones cuando existan.</x:v>
      </x:c>
    </x:row>
    <x:row r="11">
      <x:c r="A11" s="35" t="str">
        <x:v>Diego Castillo</x:v>
      </x:c>
      <x:c r="B11" s="28" t="str">
        <x:v>Salario cotizable INFOTEP (TXT)</x:v>
      </x:c>
      <x:c r="C11" s="30" t="n">
        <x:f>'Nomina simulada'!O8</x:f>
        <x:v>60000</x:v>
      </x:c>
      <x:c r="D11" s="30" t="n">
        <x:f>'Nomina simulada'!P8</x:f>
        <x:v>0</x:v>
      </x:c>
      <x:c r="E11" s="30" t="n">
        <x:f>C11-D11</x:f>
        <x:v>60000</x:v>
      </x:c>
      <x:c r="F11" s="28" t="str">
        <x:f>IF(ABS(E11)&lt;0.005,"OK","REVISAR")</x:f>
        <x:v>REVISAR</x:v>
      </x:c>
      <x:c r="G11" s="28" t="str">
        <x:v>Layout v6 pág. 22: reportar solo si difiere de Salario_SS; si no, llenar en cero.</x:v>
      </x:c>
      <x:c r="H11" s="36" t="str">
        <x:v>En vacaciones, además debe partir de salario + comisiones.</x:v>
      </x:c>
    </x:row>
    <x:row r="12">
      <x:c r="A12" s="35" t="str">
        <x:v>Valeria Santos</x:v>
      </x:c>
      <x:c r="B12" s="28" t="str">
        <x:v>Otras Remuneraciones</x:v>
      </x:c>
      <x:c r="C12" s="30" t="n">
        <x:f>'Nomina simulada'!J9</x:f>
        <x:v>0</x:v>
      </x:c>
      <x:c r="D12" s="30" t="n">
        <x:f>'Nomina simulada'!K9</x:f>
        <x:v>0</x:v>
      </x:c>
      <x:c r="E12" s="30" t="n">
        <x:f>C12-D12</x:f>
        <x:v>0</x:v>
      </x:c>
      <x:c r="F12" s="28" t="str">
        <x:f>IF(ABS(E12)&lt;0.005,"OK","REVISAR")</x:f>
        <x:v>OK</x:v>
      </x:c>
      <x:c r="G12" s="28" t="str">
        <x:v>TSS: incentivos + vacaciones por ley + otras retribuciones complementarias.</x:v>
      </x:c>
      <x:c r="H12" s="36" t="str">
        <x:v>Debe incluir vacaciones cuando existan.</x:v>
      </x:c>
    </x:row>
    <x:row r="13">
      <x:c r="A13" s="37" t="str">
        <x:v>Valeria Santos</x:v>
      </x:c>
      <x:c r="B13" s="38" t="str">
        <x:v>Salario cotizable INFOTEP (TXT)</x:v>
      </x:c>
      <x:c r="C13" s="39" t="n">
        <x:f>'Nomina simulada'!O9</x:f>
        <x:v>30000</x:v>
      </x:c>
      <x:c r="D13" s="39" t="n">
        <x:f>'Nomina simulada'!P9</x:f>
        <x:v>0</x:v>
      </x:c>
      <x:c r="E13" s="39" t="n">
        <x:f>C13-D13</x:f>
        <x:v>30000</x:v>
      </x:c>
      <x:c r="F13" s="38" t="str">
        <x:f>IF(ABS(E13)&lt;0.005,"OK","REVISAR")</x:f>
        <x:v>REVISAR</x:v>
      </x:c>
      <x:c r="G13" s="38" t="str">
        <x:v>Layout v6 pág. 22: reportar solo si difiere de Salario_SS; si no, llenar en cero.</x:v>
      </x:c>
      <x:c r="H13" s="40" t="str">
        <x:v>En vacaciones, además debe partir de salario + comisiones.</x:v>
      </x:c>
    </x:row>
  </x:sheetData>
  <x:mergeCells>
    <x:mergeCell ref="A1:H1"/>
  </x:mergeCells>
  <x:conditionalFormatting sqref="F4:F13">
    <x:cfRule type="expression" dxfId="0" priority="1">
      <x:formula>F4="REVISAR"</x:formula>
    </x:cfRule>
    <x:cfRule type="expression" dxfId="1" priority="2">
      <x:formula>F4="OK"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42" hidden="0" customWidth="1"/>
    <x:col min="6" max="6" width="48" hidden="0" customWidth="1"/>
    <x:col min="7" max="7" width="38" hidden="0" customWidth="1"/>
  </x:cols>
  <x:sheetData>
    <x:row r="1">
      <x:c r="A1" s="4" t="str">
        <x:v>CAMPOS RELEVANTES - AUTODETERMINACIÓN MENSUAL (AM)</x:v>
      </x:c>
      <x:c r="B1" s="4"/>
      <x:c r="C1" s="4"/>
      <x:c r="D1" s="4"/>
      <x:c r="E1" s="4"/>
      <x:c r="F1" s="4"/>
      <x:c r="G1" s="4"/>
    </x:row>
    <x:row r="3">
      <x:c r="A3" s="70" t="str">
        <x:v>Campo</x:v>
      </x:c>
      <x:c r="B3" s="71" t="str">
        <x:v>Desde</x:v>
      </x:c>
      <x:c r="C3" s="71" t="str">
        <x:v>Hasta</x:v>
      </x:c>
      <x:c r="D3" s="71" t="str">
        <x:v>Longitud</x:v>
      </x:c>
      <x:c r="E3" s="71" t="str">
        <x:v>Regla del layout</x:v>
      </x:c>
      <x:c r="F3" s="71" t="str">
        <x:v>Composición / criterio</x:v>
      </x:c>
      <x:c r="G3" s="72" t="str">
        <x:v>Fuente</x:v>
      </x:c>
    </x:row>
    <x:row r="4">
      <x:c r="A4" s="35" t="str">
        <x:v>Salario_SS</x:v>
      </x:c>
      <x:c r="B4" s="28" t="n">
        <x:v>170</x:v>
      </x:c>
      <x:c r="C4" s="28" t="n">
        <x:v>185</x:v>
      </x:c>
      <x:c r="D4" s="28" t="n">
        <x:v>16</x:v>
      </x:c>
      <x:c r="E4" s="28" t="str">
        <x:v>Salario del período aplicable a Seguridad Social.</x:v>
      </x:c>
      <x:c r="F4" s="28" t="str">
        <x:v>Salario + comisiones + vacaciones por ley.</x:v>
      </x:c>
      <x:c r="G4" s="36" t="str">
        <x:v>Instructivo v6 pág. 20 + Guía Usuario TSS 2024 pág. 53</x:v>
      </x:c>
    </x:row>
    <x:row r="5">
      <x:c r="A5" s="35" t="str">
        <x:v>Salario_ISR</x:v>
      </x:c>
      <x:c r="B5" s="28" t="n">
        <x:v>202</x:v>
      </x:c>
      <x:c r="C5" s="28" t="n">
        <x:v>217</x:v>
      </x:c>
      <x:c r="D5" s="28" t="n">
        <x:v>16</x:v>
      </x:c>
      <x:c r="E5" s="28" t="str">
        <x:v>Reportar solo si es diferente de Salario_SS.</x:v>
      </x:c>
      <x:c r="F5" s="28" t="str">
        <x:v>Salario + comisiones.</x:v>
      </x:c>
      <x:c r="G5" s="36" t="str">
        <x:v>Instructivo v6 pág. 20 + Guía Usuario TSS 2024 pág. 53</x:v>
      </x:c>
    </x:row>
    <x:row r="6">
      <x:c r="A6" s="35" t="str">
        <x:v>Otras remuneraciones</x:v>
      </x:c>
      <x:c r="B6" s="28" t="n">
        <x:v>218</x:v>
      </x:c>
      <x:c r="C6" s="28" t="n">
        <x:v>233</x:v>
      </x:c>
      <x:c r="D6" s="28" t="n">
        <x:v>16</x:v>
      </x:c>
      <x:c r="E6" s="28" t="str">
        <x:v>Suma de otros beneficios aplicables al ISR del período.</x:v>
      </x:c>
      <x:c r="F6" s="28" t="str">
        <x:v>Incentivos + vacaciones por ley + horas extras + bonos vacacionales + bonificaciones + otras retribuciones.</x:v>
      </x:c>
      <x:c r="G6" s="36" t="str">
        <x:v>Instructivo v6 pág. 21 + Guía Usuario TSS 2024 pág. 53</x:v>
      </x:c>
    </x:row>
    <x:row r="7">
      <x:c r="A7" s="35" t="str">
        <x:v>Ingresos exentos ISR</x:v>
      </x:c>
      <x:c r="B7" s="28" t="n">
        <x:v>261</x:v>
      </x:c>
      <x:c r="C7" s="28" t="n">
        <x:v>276</x:v>
      </x:c>
      <x:c r="D7" s="28" t="n">
        <x:v>16</x:v>
      </x:c>
      <x:c r="E7" s="28" t="str">
        <x:v>Campo general se mantiene en cero y se detalla en campos posteriores.</x:v>
      </x:c>
      <x:c r="F7" s="28" t="str">
        <x:v>Regalía, preaviso, cesantía, viáticos, indemnizaciones, etc.</x:v>
      </x:c>
      <x:c r="G7" s="36" t="str">
        <x:v>Instructivo v6 pág. 21</x:v>
      </x:c>
    </x:row>
    <x:row r="8">
      <x:c r="A8" s="35" t="str">
        <x:v>Salario cotizable INFOTEP</x:v>
      </x:c>
      <x:c r="B8" s="28" t="n">
        <x:v>293</x:v>
      </x:c>
      <x:c r="C8" s="28" t="n">
        <x:v>308</x:v>
      </x:c>
      <x:c r="D8" s="28" t="n">
        <x:v>16</x:v>
      </x:c>
      <x:c r="E8" s="28" t="str">
        <x:v>Reportar solo si es diferente de Salario_SS; si no, rellenar en cero.</x:v>
      </x:c>
      <x:c r="F8" s="28" t="str">
        <x:v>Salario + comisiones.</x:v>
      </x:c>
      <x:c r="G8" s="36" t="str">
        <x:v>Instructivo v6 pág. 22 + Guía Usuario TSS 2024 pág. 53</x:v>
      </x:c>
    </x:row>
    <x:row r="9">
      <x:c r="A9" s="35" t="str">
        <x:v>Tipo ingreso</x:v>
      </x:c>
      <x:c r="B9" s="28" t="n">
        <x:v>309</x:v>
      </x:c>
      <x:c r="C9" s="28" t="n">
        <x:v>312</x:v>
      </x:c>
      <x:c r="D9" s="28" t="n">
        <x:v>4</x:v>
      </x:c>
      <x:c r="E9" s="28" t="str">
        <x:v>0001 = Normal; otros códigos según naturaleza.</x:v>
      </x:c>
      <x:c r="F9" s="28" t="str">
        <x:v>Código del tipo de remuneración.</x:v>
      </x:c>
      <x:c r="G9" s="36" t="str">
        <x:v>Instructivo v6 pág. 22</x:v>
      </x:c>
    </x:row>
    <x:row r="10">
      <x:c r="A10" s="37" t="str">
        <x:v>Regalía Pascual</x:v>
      </x:c>
      <x:c r="B10" s="38" t="n">
        <x:v>313</x:v>
      </x:c>
      <x:c r="C10" s="38" t="n">
        <x:v>330</x:v>
      </x:c>
      <x:c r="D10" s="38" t="n">
        <x:v>18</x:v>
      </x:c>
      <x:c r="E10" s="38" t="str">
        <x:v>Código 01 + monto de 16 posiciones.</x:v>
      </x:c>
      <x:c r="F10" s="38" t="str">
        <x:v>Ingreso extraordinario exento de ISR.</x:v>
      </x:c>
      <x:c r="G10" s="40" t="str">
        <x:v>Instructivo v6 pág. 22</x:v>
      </x:c>
    </x:row>
    <x:row r="12">
      <x:c r="A12" s="77" t="str">
        <x:v>Fuentes oficiales</x:v>
      </x:c>
      <x:c r="B12" s="77"/>
      <x:c r="C12" s="77"/>
      <x:c r="D12" s="77"/>
      <x:c r="E12" s="77"/>
      <x:c r="F12" s="77"/>
      <x:c r="G12" s="77"/>
    </x:row>
    <x:row r="13">
      <x:c r="A13" s="28" t="str">
        <x:v>Instructivo TSS v6</x:v>
      </x:c>
      <x:c r="B13" s="28" t="str"/>
      <x:c r="C13" s="28" t="str"/>
      <x:c r="D13" s="28" t="str"/>
      <x:c r="E13" s="28" t="str"/>
      <x:c r="F13" s="28" t="str"/>
      <x:c r="G13" s="28" t="str">
        <x:v>Adjunto en el paquete: 01_Guia_Oficial_TSS_Autodeterminacion_v6.pdf</x:v>
      </x:c>
    </x:row>
    <x:row r="14">
      <x:c r="A14" s="28" t="str">
        <x:v>Guía de Usuario TSS 2024</x:v>
      </x:c>
      <x:c r="B14" s="28" t="str"/>
      <x:c r="C14" s="28" t="str"/>
      <x:c r="D14" s="28" t="str"/>
      <x:c r="E14" s="28" t="str"/>
      <x:c r="F14" s="28" t="str"/>
      <x:c r="G14" s="28" t="str">
        <x:v>https://www.tss.gob.do/assets/guiausuario24b.pdf</x:v>
      </x:c>
    </x:row>
  </x:sheetData>
  <x:mergeCells>
    <x:mergeCell ref="A1:G1"/>
    <x:mergeCell ref="A12:G12"/>
  </x:mergeCells>
  <x:pageMargins left="0.7" right="0.7" top="0.75" bottom="0.75" header="0.3" footer="0.3"/>
</x:worksheet>
</file>